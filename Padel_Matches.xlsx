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adel Matches" sheetId="1" state="visible" r:id="rId3"/>
    <sheet name="Statistik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<sst xmlns="http://schemas.openxmlformats.org/spreadsheetml/2006/main" count="366" uniqueCount="126">
  <si>
    <t xml:space="preserve">Datum</t>
  </si>
  <si>
    <t xml:space="preserve">Team 1</t>
  </si>
  <si>
    <t xml:space="preserve">Team 2</t>
  </si>
  <si>
    <t xml:space="preserve">Satzergebnisse</t>
  </si>
  <si>
    <t xml:space="preserve">Sätze (Team1:Team2)</t>
  </si>
  <si>
    <t xml:space="preserve">Sieger</t>
  </si>
  <si>
    <t xml:space="preserve">Saison</t>
  </si>
  <si>
    <t xml:space="preserve">Team</t>
  </si>
  <si>
    <t xml:space="preserve">Marinus gewonnen</t>
  </si>
  <si>
    <t xml:space="preserve">2026-09-21</t>
  </si>
  <si>
    <t xml:space="preserve">marinus / Remi</t>
  </si>
  <si>
    <t xml:space="preserve">Hanno / Lenanrt</t>
  </si>
  <si>
    <t xml:space="preserve">4:6, 6:4, 6:4</t>
  </si>
  <si>
    <t xml:space="preserve">2:1</t>
  </si>
  <si>
    <t xml:space="preserve">Wintersemester 2026/27</t>
  </si>
  <si>
    <t xml:space="preserve">Team A</t>
  </si>
  <si>
    <t xml:space="preserve">Ja</t>
  </si>
  <si>
    <t xml:space="preserve">2026-09-19</t>
  </si>
  <si>
    <t xml:space="preserve">Hanno / Remi</t>
  </si>
  <si>
    <t xml:space="preserve">marinus / Flo</t>
  </si>
  <si>
    <t xml:space="preserve">7:6, 3:6, 7:6</t>
  </si>
  <si>
    <t xml:space="preserve">Nein</t>
  </si>
  <si>
    <t xml:space="preserve">2026-09-17</t>
  </si>
  <si>
    <t xml:space="preserve">marinus / Nino</t>
  </si>
  <si>
    <t xml:space="preserve">Hanno / Hagen</t>
  </si>
  <si>
    <t xml:space="preserve">6:0, 6:3</t>
  </si>
  <si>
    <t xml:space="preserve">2:0</t>
  </si>
  <si>
    <t xml:space="preserve">2026-09-14</t>
  </si>
  <si>
    <t xml:space="preserve">Hanno / Flo</t>
  </si>
  <si>
    <t xml:space="preserve">Lenanrt / marinus</t>
  </si>
  <si>
    <t xml:space="preserve">6:4, 4:6, 6:1</t>
  </si>
  <si>
    <t xml:space="preserve">2026-09-12</t>
  </si>
  <si>
    <t xml:space="preserve">Phillip / Lenanrt</t>
  </si>
  <si>
    <t xml:space="preserve">6:4, 6:3</t>
  </si>
  <si>
    <t xml:space="preserve">7:6, 4:6, 4:6</t>
  </si>
  <si>
    <t xml:space="preserve">1:2</t>
  </si>
  <si>
    <t xml:space="preserve">Team B</t>
  </si>
  <si>
    <t xml:space="preserve">2026-09-10</t>
  </si>
  <si>
    <t xml:space="preserve">marinus / Jakob</t>
  </si>
  <si>
    <t xml:space="preserve">7:6, 3:6, 6:1</t>
  </si>
  <si>
    <t xml:space="preserve">2026-09-06</t>
  </si>
  <si>
    <t xml:space="preserve">Nino / marinus</t>
  </si>
  <si>
    <t xml:space="preserve">Remi / Lenanrt</t>
  </si>
  <si>
    <t xml:space="preserve">6:3, 6:3</t>
  </si>
  <si>
    <t xml:space="preserve">Mai 26</t>
  </si>
  <si>
    <t xml:space="preserve">2026-09-04</t>
  </si>
  <si>
    <t xml:space="preserve">Hanno / Phillip</t>
  </si>
  <si>
    <t xml:space="preserve">3:6, 6:2, 6:2</t>
  </si>
  <si>
    <t xml:space="preserve">2026-07-20</t>
  </si>
  <si>
    <t xml:space="preserve">Nino / Lenanrt</t>
  </si>
  <si>
    <t xml:space="preserve">Phillip / Remi</t>
  </si>
  <si>
    <t xml:space="preserve">7:5, 6:3</t>
  </si>
  <si>
    <t xml:space="preserve">2026-07-11</t>
  </si>
  <si>
    <t xml:space="preserve">Lenanrt / Remi</t>
  </si>
  <si>
    <t xml:space="preserve">marinus / Phillip</t>
  </si>
  <si>
    <t xml:space="preserve">2026-07-05</t>
  </si>
  <si>
    <t xml:space="preserve">Nino / Hanno</t>
  </si>
  <si>
    <t xml:space="preserve">6:2, 7:6</t>
  </si>
  <si>
    <t xml:space="preserve">2026-07-01</t>
  </si>
  <si>
    <t xml:space="preserve">Hanno / Nino</t>
  </si>
  <si>
    <t xml:space="preserve">2:6, 6:3, 6:4</t>
  </si>
  <si>
    <t xml:space="preserve">2026-06-04</t>
  </si>
  <si>
    <t xml:space="preserve">Lenanrt / Hanno</t>
  </si>
  <si>
    <t xml:space="preserve">6:4, 7:6</t>
  </si>
  <si>
    <t xml:space="preserve">2026-05-28</t>
  </si>
  <si>
    <t xml:space="preserve">Hagen / Nino</t>
  </si>
  <si>
    <t xml:space="preserve">6:2, 6:1</t>
  </si>
  <si>
    <t xml:space="preserve">Hagen / Hanno</t>
  </si>
  <si>
    <t xml:space="preserve">6:0, 2:6, 6:3</t>
  </si>
  <si>
    <t xml:space="preserve">2026-05-21</t>
  </si>
  <si>
    <t xml:space="preserve">Hanno / Marinus</t>
  </si>
  <si>
    <t xml:space="preserve">Lenanrt / Hagen</t>
  </si>
  <si>
    <t xml:space="preserve">6:0, 6:1</t>
  </si>
  <si>
    <t xml:space="preserve">Marinus / Hagen</t>
  </si>
  <si>
    <t xml:space="preserve">6:4, 6:1</t>
  </si>
  <si>
    <t xml:space="preserve">Marinus / Nino</t>
  </si>
  <si>
    <t xml:space="preserve">6:1, 6:3</t>
  </si>
  <si>
    <t xml:space="preserve">2026-03-27</t>
  </si>
  <si>
    <t xml:space="preserve">Flo / Phillip</t>
  </si>
  <si>
    <t xml:space="preserve">5:7, 6:0, 6:4</t>
  </si>
  <si>
    <t xml:space="preserve">Maerz.2026</t>
  </si>
  <si>
    <t xml:space="preserve">2026-03-26</t>
  </si>
  <si>
    <t xml:space="preserve">Lenanrt / Nino</t>
  </si>
  <si>
    <t xml:space="preserve">6:3, 6:1</t>
  </si>
  <si>
    <t xml:space="preserve">2026-03-23</t>
  </si>
  <si>
    <t xml:space="preserve">Marinus / Flo</t>
  </si>
  <si>
    <t xml:space="preserve">2:6, 6:2, 6:4</t>
  </si>
  <si>
    <t xml:space="preserve">2026-03-09</t>
  </si>
  <si>
    <t xml:space="preserve">Flo / Nino</t>
  </si>
  <si>
    <t xml:space="preserve">6:3, 6:2</t>
  </si>
  <si>
    <t xml:space="preserve">2026-03-07</t>
  </si>
  <si>
    <t xml:space="preserve">6:1, 6:2</t>
  </si>
  <si>
    <t xml:space="preserve">2026-03-01</t>
  </si>
  <si>
    <t xml:space="preserve">6:0, 7:5</t>
  </si>
  <si>
    <t xml:space="preserve">2026-02-28</t>
  </si>
  <si>
    <t xml:space="preserve">Februar.2026</t>
  </si>
  <si>
    <t xml:space="preserve">2026-02-26</t>
  </si>
  <si>
    <t xml:space="preserve">Lenanrt / Flo</t>
  </si>
  <si>
    <t xml:space="preserve">Nino / Hagen</t>
  </si>
  <si>
    <t xml:space="preserve">2026-02-19</t>
  </si>
  <si>
    <t xml:space="preserve">6:4, 6:4</t>
  </si>
  <si>
    <t xml:space="preserve">2026-02-09</t>
  </si>
  <si>
    <t xml:space="preserve">2026-02-07</t>
  </si>
  <si>
    <t xml:space="preserve">6:2, 7:5</t>
  </si>
  <si>
    <t xml:space="preserve">2026-02-06</t>
  </si>
  <si>
    <t xml:space="preserve">2026-02-02</t>
  </si>
  <si>
    <t xml:space="preserve">Nino / Phillip</t>
  </si>
  <si>
    <t xml:space="preserve">2026-02-01</t>
  </si>
  <si>
    <t xml:space="preserve">Marinus / Lenanrt</t>
  </si>
  <si>
    <t xml:space="preserve">Hagen / Marinus</t>
  </si>
  <si>
    <t xml:space="preserve">6:4, 4:6, 4:6</t>
  </si>
  <si>
    <t xml:space="preserve">6:4, 4:6, 6:4</t>
  </si>
  <si>
    <t xml:space="preserve">Marinus / Hanno</t>
  </si>
  <si>
    <t xml:space="preserve">Nino / Flo</t>
  </si>
  <si>
    <t xml:space="preserve">Phillip / Nino</t>
  </si>
  <si>
    <t xml:space="preserve">6:4, 6:4, 4:6</t>
  </si>
  <si>
    <t xml:space="preserve">Nino / Marinus</t>
  </si>
  <si>
    <t xml:space="preserve">Flo / Lenanrt</t>
  </si>
  <si>
    <t xml:space="preserve">6:7, 6:3, 7:6</t>
  </si>
  <si>
    <t xml:space="preserve">Phillip / Hanno</t>
  </si>
  <si>
    <t xml:space="preserve">Kennzahl</t>
  </si>
  <si>
    <t xml:space="preserve">Wert</t>
  </si>
  <si>
    <t xml:space="preserve">Anzahl Matches</t>
  </si>
  <si>
    <t xml:space="preserve">Siege (Marinus)</t>
  </si>
  <si>
    <t xml:space="preserve">Niederlagen (Marinus)</t>
  </si>
  <si>
    <t xml:space="preserve">Siegquote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</si>
</sst>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%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2F5496"/>
        <bgColor rgb="FF666699"/>
      </patternFill>
    </fill>
    <fill>
      <patternFill patternType="solid">
        <fgColor rgb="FFC6EFCE"/>
        <bgColor rgb="FFCCFFFF"/>
      </patternFill>
    </fill>
    <fill>
      <patternFill patternType="solid">
        <fgColor rgb="FFFFC7CE"/>
        <bgColor rgb="FFCCCC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F5496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4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3" min="2" style="0" width="22"/>
    <col collapsed="false" customWidth="true" hidden="false" outlineLevel="0" max="5" min="4" style="0" width="20"/>
    <col collapsed="false" customWidth="true" hidden="false" outlineLevel="0" max="7" min="6" style="0" width="22"/>
    <col collapsed="false" customWidth="true" hidden="false" outlineLevel="0" max="8" min="8" style="0" width="10"/>
    <col collapsed="false" customWidth="true" hidden="false" outlineLevel="0" max="9" min="9" style="0" width="18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customFormat="false" ht="15" hidden="false" customHeight="false" outlineLevel="0" collapsed="false">
      <c r="A2" s="2" t="s">
        <v>9</v>
      </c>
      <c r="B2" s="2" t="s">
        <v>10</v>
      </c>
      <c r="C2" s="2" t="s">
        <v>11</v>
      </c>
      <c r="D2" s="2" t="s">
        <v>12</v>
      </c>
      <c r="E2" s="2" t="s">
        <v>13</v>
      </c>
      <c r="F2" s="2" t="s">
        <v>10</v>
      </c>
      <c r="G2" s="2" t="s">
        <v>14</v>
      </c>
      <c r="H2" s="2" t="s">
        <v>15</v>
      </c>
      <c r="I2" s="3" t="s">
        <v>16</v>
      </c>
    </row>
    <row r="3" customFormat="false" ht="15" hidden="false" customHeight="false" outlineLevel="0" collapsed="false">
      <c r="A3" s="2" t="s">
        <v>17</v>
      </c>
      <c r="B3" s="2" t="s">
        <v>18</v>
      </c>
      <c r="C3" s="2" t="s">
        <v>19</v>
      </c>
      <c r="D3" s="2" t="s">
        <v>20</v>
      </c>
      <c r="E3" s="2" t="s">
        <v>13</v>
      </c>
      <c r="F3" s="2" t="s">
        <v>18</v>
      </c>
      <c r="G3" s="2" t="s">
        <v>14</v>
      </c>
      <c r="H3" s="2" t="s">
        <v>15</v>
      </c>
      <c r="I3" s="4" t="s">
        <v>21</v>
      </c>
    </row>
    <row r="4" customFormat="false" ht="15" hidden="false" customHeight="false" outlineLevel="0" collapsed="false">
      <c r="A4" s="2" t="s">
        <v>22</v>
      </c>
      <c r="B4" s="2" t="s">
        <v>23</v>
      </c>
      <c r="C4" s="2" t="s">
        <v>24</v>
      </c>
      <c r="D4" s="2" t="s">
        <v>25</v>
      </c>
      <c r="E4" s="2" t="s">
        <v>26</v>
      </c>
      <c r="F4" s="2" t="s">
        <v>23</v>
      </c>
      <c r="G4" s="2" t="s">
        <v>14</v>
      </c>
      <c r="H4" s="2" t="s">
        <v>15</v>
      </c>
      <c r="I4" s="3" t="s">
        <v>16</v>
      </c>
    </row>
    <row r="5" customFormat="false" ht="15" hidden="false" customHeight="false" outlineLevel="0" collapsed="false">
      <c r="A5" s="2" t="s">
        <v>27</v>
      </c>
      <c r="B5" s="2" t="s">
        <v>28</v>
      </c>
      <c r="C5" s="2" t="s">
        <v>29</v>
      </c>
      <c r="D5" s="2" t="s">
        <v>30</v>
      </c>
      <c r="E5" s="2" t="s">
        <v>13</v>
      </c>
      <c r="F5" s="2" t="s">
        <v>28</v>
      </c>
      <c r="G5" s="2" t="s">
        <v>14</v>
      </c>
      <c r="H5" s="2" t="s">
        <v>15</v>
      </c>
      <c r="I5" s="4" t="s">
        <v>21</v>
      </c>
    </row>
    <row r="6" customFormat="false" ht="15" hidden="false" customHeight="false" outlineLevel="0" collapsed="false">
      <c r="A6" s="2" t="s">
        <v>31</v>
      </c>
      <c r="B6" s="2" t="s">
        <v>19</v>
      </c>
      <c r="C6" s="2" t="s">
        <v>32</v>
      </c>
      <c r="D6" s="2" t="s">
        <v>33</v>
      </c>
      <c r="E6" s="2" t="s">
        <v>26</v>
      </c>
      <c r="F6" s="2" t="s">
        <v>19</v>
      </c>
      <c r="G6" s="2" t="s">
        <v>14</v>
      </c>
      <c r="H6" s="2" t="s">
        <v>15</v>
      </c>
      <c r="I6" s="3" t="s">
        <v>16</v>
      </c>
    </row>
    <row r="7" customFormat="false" ht="15" hidden="false" customHeight="false" outlineLevel="0" collapsed="false">
      <c r="A7" s="2" t="s">
        <v>31</v>
      </c>
      <c r="B7" s="2" t="s">
        <v>32</v>
      </c>
      <c r="C7" s="2" t="s">
        <v>19</v>
      </c>
      <c r="D7" s="2" t="s">
        <v>34</v>
      </c>
      <c r="E7" s="2" t="s">
        <v>35</v>
      </c>
      <c r="F7" s="2" t="s">
        <v>19</v>
      </c>
      <c r="G7" s="2" t="s">
        <v>14</v>
      </c>
      <c r="H7" s="2" t="s">
        <v>36</v>
      </c>
      <c r="I7" s="3" t="s">
        <v>16</v>
      </c>
    </row>
    <row r="8" customFormat="false" ht="15" hidden="false" customHeight="false" outlineLevel="0" collapsed="false">
      <c r="A8" s="2" t="s">
        <v>37</v>
      </c>
      <c r="B8" s="2" t="s">
        <v>11</v>
      </c>
      <c r="C8" s="2" t="s">
        <v>38</v>
      </c>
      <c r="D8" s="2" t="s">
        <v>39</v>
      </c>
      <c r="E8" s="2" t="s">
        <v>13</v>
      </c>
      <c r="F8" s="2" t="s">
        <v>11</v>
      </c>
      <c r="G8" s="2" t="s">
        <v>14</v>
      </c>
      <c r="H8" s="2" t="s">
        <v>15</v>
      </c>
      <c r="I8" s="4" t="s">
        <v>21</v>
      </c>
    </row>
    <row r="9" customFormat="false" ht="15" hidden="false" customHeight="false" outlineLevel="0" collapsed="false">
      <c r="A9" s="2" t="s">
        <v>40</v>
      </c>
      <c r="B9" s="2" t="s">
        <v>41</v>
      </c>
      <c r="C9" s="2" t="s">
        <v>42</v>
      </c>
      <c r="D9" s="2" t="s">
        <v>43</v>
      </c>
      <c r="E9" s="2" t="s">
        <v>26</v>
      </c>
      <c r="F9" s="2" t="s">
        <v>41</v>
      </c>
      <c r="G9" s="2" t="s">
        <v>44</v>
      </c>
      <c r="H9" s="2" t="s">
        <v>15</v>
      </c>
      <c r="I9" s="3" t="s">
        <v>16</v>
      </c>
    </row>
    <row r="10" customFormat="false" ht="15" hidden="false" customHeight="false" outlineLevel="0" collapsed="false">
      <c r="A10" s="2" t="s">
        <v>45</v>
      </c>
      <c r="B10" s="2" t="s">
        <v>19</v>
      </c>
      <c r="C10" s="2" t="s">
        <v>46</v>
      </c>
      <c r="D10" s="2" t="s">
        <v>47</v>
      </c>
      <c r="E10" s="2" t="s">
        <v>13</v>
      </c>
      <c r="F10" s="2" t="s">
        <v>19</v>
      </c>
      <c r="G10" s="2" t="s">
        <v>44</v>
      </c>
      <c r="H10" s="2" t="s">
        <v>15</v>
      </c>
      <c r="I10" s="3" t="s">
        <v>16</v>
      </c>
    </row>
    <row r="11" customFormat="false" ht="15" hidden="false" customHeight="false" outlineLevel="0" collapsed="false">
      <c r="A11" s="2" t="s">
        <v>48</v>
      </c>
      <c r="B11" s="2" t="s">
        <v>49</v>
      </c>
      <c r="C11" s="2" t="s">
        <v>50</v>
      </c>
      <c r="D11" s="2" t="s">
        <v>51</v>
      </c>
      <c r="E11" s="2" t="s">
        <v>26</v>
      </c>
      <c r="F11" s="2" t="s">
        <v>49</v>
      </c>
      <c r="G11" s="2" t="s">
        <v>44</v>
      </c>
      <c r="H11" s="2" t="s">
        <v>15</v>
      </c>
      <c r="I11" s="4" t="s">
        <v>21</v>
      </c>
    </row>
    <row r="12" customFormat="false" ht="15" hidden="false" customHeight="false" outlineLevel="0" collapsed="false">
      <c r="A12" s="2" t="s">
        <v>52</v>
      </c>
      <c r="B12" s="2" t="s">
        <v>53</v>
      </c>
      <c r="C12" s="2" t="s">
        <v>54</v>
      </c>
      <c r="D12" s="2" t="s">
        <v>33</v>
      </c>
      <c r="E12" s="2" t="s">
        <v>26</v>
      </c>
      <c r="F12" s="2" t="s">
        <v>53</v>
      </c>
      <c r="G12" s="2" t="s">
        <v>44</v>
      </c>
      <c r="H12" s="2" t="s">
        <v>15</v>
      </c>
      <c r="I12" s="4" t="s">
        <v>21</v>
      </c>
    </row>
    <row r="13" customFormat="false" ht="15" hidden="false" customHeight="false" outlineLevel="0" collapsed="false">
      <c r="A13" s="2" t="s">
        <v>55</v>
      </c>
      <c r="B13" s="2" t="s">
        <v>53</v>
      </c>
      <c r="C13" s="2" t="s">
        <v>56</v>
      </c>
      <c r="D13" s="2" t="s">
        <v>57</v>
      </c>
      <c r="E13" s="2" t="s">
        <v>26</v>
      </c>
      <c r="F13" s="2" t="s">
        <v>53</v>
      </c>
      <c r="G13" s="2" t="s">
        <v>44</v>
      </c>
      <c r="H13" s="2" t="s">
        <v>15</v>
      </c>
      <c r="I13" s="4" t="s">
        <v>21</v>
      </c>
    </row>
    <row r="14" customFormat="false" ht="15" hidden="false" customHeight="false" outlineLevel="0" collapsed="false">
      <c r="A14" s="2" t="s">
        <v>58</v>
      </c>
      <c r="B14" s="2" t="s">
        <v>59</v>
      </c>
      <c r="C14" s="2" t="s">
        <v>29</v>
      </c>
      <c r="D14" s="2" t="s">
        <v>60</v>
      </c>
      <c r="E14" s="2" t="s">
        <v>13</v>
      </c>
      <c r="F14" s="2" t="s">
        <v>59</v>
      </c>
      <c r="G14" s="2" t="s">
        <v>44</v>
      </c>
      <c r="H14" s="2" t="s">
        <v>15</v>
      </c>
      <c r="I14" s="4" t="s">
        <v>21</v>
      </c>
    </row>
    <row r="15" customFormat="false" ht="15" hidden="false" customHeight="false" outlineLevel="0" collapsed="false">
      <c r="A15" s="2" t="s">
        <v>61</v>
      </c>
      <c r="B15" s="2" t="s">
        <v>54</v>
      </c>
      <c r="C15" s="2" t="s">
        <v>62</v>
      </c>
      <c r="D15" s="2" t="s">
        <v>63</v>
      </c>
      <c r="E15" s="2" t="s">
        <v>26</v>
      </c>
      <c r="F15" s="2" t="s">
        <v>54</v>
      </c>
      <c r="G15" s="2" t="s">
        <v>44</v>
      </c>
      <c r="H15" s="2" t="s">
        <v>15</v>
      </c>
      <c r="I15" s="3" t="s">
        <v>16</v>
      </c>
    </row>
    <row r="16" customFormat="false" ht="15" hidden="false" customHeight="false" outlineLevel="0" collapsed="false">
      <c r="A16" s="2" t="s">
        <v>64</v>
      </c>
      <c r="B16" s="2" t="s">
        <v>28</v>
      </c>
      <c r="C16" s="2" t="s">
        <v>65</v>
      </c>
      <c r="D16" s="2" t="s">
        <v>66</v>
      </c>
      <c r="E16" s="2" t="s">
        <v>26</v>
      </c>
      <c r="F16" s="2" t="s">
        <v>28</v>
      </c>
      <c r="G16" s="2" t="s">
        <v>44</v>
      </c>
      <c r="H16" s="2" t="s">
        <v>15</v>
      </c>
      <c r="I16" s="4" t="s">
        <v>21</v>
      </c>
    </row>
    <row r="17" customFormat="false" ht="15" hidden="false" customHeight="false" outlineLevel="0" collapsed="false">
      <c r="A17" s="2" t="s">
        <v>64</v>
      </c>
      <c r="B17" s="2" t="s">
        <v>67</v>
      </c>
      <c r="C17" s="2" t="s">
        <v>23</v>
      </c>
      <c r="D17" s="2" t="s">
        <v>68</v>
      </c>
      <c r="E17" s="2" t="s">
        <v>13</v>
      </c>
      <c r="F17" s="2" t="s">
        <v>67</v>
      </c>
      <c r="G17" s="2" t="s">
        <v>44</v>
      </c>
      <c r="H17" s="2" t="s">
        <v>15</v>
      </c>
      <c r="I17" s="4" t="s">
        <v>21</v>
      </c>
    </row>
    <row r="18" customFormat="false" ht="15" hidden="false" customHeight="false" outlineLevel="0" collapsed="false">
      <c r="A18" s="2" t="s">
        <v>69</v>
      </c>
      <c r="B18" s="2" t="s">
        <v>70</v>
      </c>
      <c r="C18" s="2" t="s">
        <v>71</v>
      </c>
      <c r="D18" s="2" t="s">
        <v>72</v>
      </c>
      <c r="E18" s="2" t="s">
        <v>26</v>
      </c>
      <c r="F18" s="2" t="s">
        <v>70</v>
      </c>
      <c r="G18" s="2" t="s">
        <v>44</v>
      </c>
      <c r="H18" s="2" t="s">
        <v>15</v>
      </c>
      <c r="I18" s="3" t="s">
        <v>16</v>
      </c>
    </row>
    <row r="19" customFormat="false" ht="15" hidden="false" customHeight="false" outlineLevel="0" collapsed="false">
      <c r="A19" s="2" t="s">
        <v>69</v>
      </c>
      <c r="B19" s="2" t="s">
        <v>11</v>
      </c>
      <c r="C19" s="2" t="s">
        <v>73</v>
      </c>
      <c r="D19" s="2" t="s">
        <v>74</v>
      </c>
      <c r="E19" s="2" t="s">
        <v>26</v>
      </c>
      <c r="F19" s="2" t="s">
        <v>11</v>
      </c>
      <c r="G19" s="2" t="s">
        <v>44</v>
      </c>
      <c r="H19" s="2" t="s">
        <v>15</v>
      </c>
      <c r="I19" s="4" t="s">
        <v>21</v>
      </c>
    </row>
    <row r="20" customFormat="false" ht="15" hidden="false" customHeight="false" outlineLevel="0" collapsed="false">
      <c r="A20" s="2" t="s">
        <v>69</v>
      </c>
      <c r="B20" s="2" t="s">
        <v>75</v>
      </c>
      <c r="C20" s="2" t="s">
        <v>67</v>
      </c>
      <c r="D20" s="2" t="s">
        <v>76</v>
      </c>
      <c r="E20" s="2" t="s">
        <v>26</v>
      </c>
      <c r="F20" s="2" t="s">
        <v>75</v>
      </c>
      <c r="G20" s="2" t="s">
        <v>44</v>
      </c>
      <c r="H20" s="2" t="s">
        <v>15</v>
      </c>
      <c r="I20" s="3" t="s">
        <v>16</v>
      </c>
    </row>
    <row r="21" customFormat="false" ht="15" hidden="false" customHeight="false" outlineLevel="0" collapsed="false">
      <c r="A21" s="2" t="s">
        <v>77</v>
      </c>
      <c r="B21" s="2" t="s">
        <v>59</v>
      </c>
      <c r="C21" s="2" t="s">
        <v>78</v>
      </c>
      <c r="D21" s="2" t="s">
        <v>79</v>
      </c>
      <c r="E21" s="2" t="s">
        <v>13</v>
      </c>
      <c r="F21" s="2" t="s">
        <v>59</v>
      </c>
      <c r="G21" s="2" t="s">
        <v>80</v>
      </c>
      <c r="H21" s="2" t="s">
        <v>15</v>
      </c>
      <c r="I21" s="4" t="s">
        <v>21</v>
      </c>
    </row>
    <row r="22" customFormat="false" ht="15" hidden="false" customHeight="false" outlineLevel="0" collapsed="false">
      <c r="A22" s="2" t="s">
        <v>81</v>
      </c>
      <c r="B22" s="2" t="s">
        <v>28</v>
      </c>
      <c r="C22" s="2" t="s">
        <v>82</v>
      </c>
      <c r="D22" s="2" t="s">
        <v>83</v>
      </c>
      <c r="E22" s="2" t="s">
        <v>26</v>
      </c>
      <c r="F22" s="2" t="s">
        <v>28</v>
      </c>
      <c r="G22" s="2" t="s">
        <v>80</v>
      </c>
      <c r="H22" s="2" t="s">
        <v>15</v>
      </c>
      <c r="I22" s="4" t="s">
        <v>21</v>
      </c>
    </row>
    <row r="23" customFormat="false" ht="15" hidden="false" customHeight="false" outlineLevel="0" collapsed="false">
      <c r="A23" s="2" t="s">
        <v>84</v>
      </c>
      <c r="B23" s="2" t="s">
        <v>59</v>
      </c>
      <c r="C23" s="2" t="s">
        <v>85</v>
      </c>
      <c r="D23" s="2" t="s">
        <v>86</v>
      </c>
      <c r="E23" s="2" t="s">
        <v>13</v>
      </c>
      <c r="F23" s="2" t="s">
        <v>59</v>
      </c>
      <c r="G23" s="2" t="s">
        <v>80</v>
      </c>
      <c r="H23" s="2" t="s">
        <v>15</v>
      </c>
      <c r="I23" s="4" t="s">
        <v>21</v>
      </c>
    </row>
    <row r="24" customFormat="false" ht="15" hidden="false" customHeight="false" outlineLevel="0" collapsed="false">
      <c r="A24" s="2" t="s">
        <v>87</v>
      </c>
      <c r="B24" s="2" t="s">
        <v>11</v>
      </c>
      <c r="C24" s="2" t="s">
        <v>88</v>
      </c>
      <c r="D24" s="2" t="s">
        <v>89</v>
      </c>
      <c r="E24" s="2" t="s">
        <v>26</v>
      </c>
      <c r="F24" s="2" t="s">
        <v>11</v>
      </c>
      <c r="G24" s="2" t="s">
        <v>80</v>
      </c>
      <c r="H24" s="2" t="s">
        <v>15</v>
      </c>
      <c r="I24" s="4" t="s">
        <v>21</v>
      </c>
    </row>
    <row r="25" customFormat="false" ht="15" hidden="false" customHeight="false" outlineLevel="0" collapsed="false">
      <c r="A25" s="2" t="s">
        <v>90</v>
      </c>
      <c r="B25" s="2" t="s">
        <v>11</v>
      </c>
      <c r="C25" s="2" t="s">
        <v>73</v>
      </c>
      <c r="D25" s="2" t="s">
        <v>91</v>
      </c>
      <c r="E25" s="2" t="s">
        <v>26</v>
      </c>
      <c r="F25" s="2" t="s">
        <v>11</v>
      </c>
      <c r="G25" s="2" t="s">
        <v>80</v>
      </c>
      <c r="H25" s="2" t="s">
        <v>15</v>
      </c>
      <c r="I25" s="4" t="s">
        <v>21</v>
      </c>
    </row>
    <row r="26" customFormat="false" ht="15" hidden="false" customHeight="false" outlineLevel="0" collapsed="false">
      <c r="A26" s="2" t="s">
        <v>92</v>
      </c>
      <c r="B26" s="2" t="s">
        <v>75</v>
      </c>
      <c r="C26" s="2" t="s">
        <v>24</v>
      </c>
      <c r="D26" s="2" t="s">
        <v>93</v>
      </c>
      <c r="E26" s="2" t="s">
        <v>26</v>
      </c>
      <c r="F26" s="2" t="s">
        <v>75</v>
      </c>
      <c r="G26" s="2" t="s">
        <v>80</v>
      </c>
      <c r="H26" s="2" t="s">
        <v>15</v>
      </c>
      <c r="I26" s="3" t="s">
        <v>16</v>
      </c>
    </row>
    <row r="27" customFormat="false" ht="15" hidden="false" customHeight="false" outlineLevel="0" collapsed="false">
      <c r="A27" s="2" t="s">
        <v>94</v>
      </c>
      <c r="B27" s="2" t="s">
        <v>70</v>
      </c>
      <c r="C27" s="2" t="s">
        <v>71</v>
      </c>
      <c r="D27" s="2" t="s">
        <v>76</v>
      </c>
      <c r="E27" s="2" t="s">
        <v>26</v>
      </c>
      <c r="F27" s="2" t="s">
        <v>70</v>
      </c>
      <c r="G27" s="2" t="s">
        <v>95</v>
      </c>
      <c r="H27" s="2" t="s">
        <v>15</v>
      </c>
      <c r="I27" s="3" t="s">
        <v>16</v>
      </c>
    </row>
    <row r="28" customFormat="false" ht="15" hidden="false" customHeight="false" outlineLevel="0" collapsed="false">
      <c r="A28" s="2" t="s">
        <v>96</v>
      </c>
      <c r="B28" s="2" t="s">
        <v>97</v>
      </c>
      <c r="C28" s="2" t="s">
        <v>98</v>
      </c>
      <c r="D28" s="2" t="s">
        <v>89</v>
      </c>
      <c r="E28" s="2" t="s">
        <v>26</v>
      </c>
      <c r="F28" s="2" t="s">
        <v>97</v>
      </c>
      <c r="G28" s="2" t="s">
        <v>95</v>
      </c>
      <c r="H28" s="2" t="s">
        <v>15</v>
      </c>
      <c r="I28" s="4" t="s">
        <v>21</v>
      </c>
    </row>
    <row r="29" customFormat="false" ht="15" hidden="false" customHeight="false" outlineLevel="0" collapsed="false">
      <c r="A29" s="2" t="s">
        <v>99</v>
      </c>
      <c r="B29" s="2" t="s">
        <v>82</v>
      </c>
      <c r="C29" s="2" t="s">
        <v>28</v>
      </c>
      <c r="D29" s="2" t="s">
        <v>100</v>
      </c>
      <c r="E29" s="2" t="s">
        <v>26</v>
      </c>
      <c r="F29" s="2" t="s">
        <v>82</v>
      </c>
      <c r="G29" s="2" t="s">
        <v>95</v>
      </c>
      <c r="H29" s="2" t="s">
        <v>15</v>
      </c>
      <c r="I29" s="4" t="s">
        <v>21</v>
      </c>
    </row>
    <row r="30" customFormat="false" ht="15" hidden="false" customHeight="false" outlineLevel="0" collapsed="false">
      <c r="A30" s="2" t="s">
        <v>101</v>
      </c>
      <c r="B30" s="2" t="s">
        <v>75</v>
      </c>
      <c r="C30" s="2" t="s">
        <v>24</v>
      </c>
      <c r="D30" s="2" t="s">
        <v>66</v>
      </c>
      <c r="E30" s="2" t="s">
        <v>26</v>
      </c>
      <c r="F30" s="2" t="s">
        <v>75</v>
      </c>
      <c r="G30" s="2" t="s">
        <v>95</v>
      </c>
      <c r="H30" s="2" t="s">
        <v>15</v>
      </c>
      <c r="I30" s="3" t="s">
        <v>16</v>
      </c>
    </row>
    <row r="31" customFormat="false" ht="15" hidden="false" customHeight="false" outlineLevel="0" collapsed="false">
      <c r="A31" s="2" t="s">
        <v>102</v>
      </c>
      <c r="B31" s="2" t="s">
        <v>46</v>
      </c>
      <c r="C31" s="2" t="s">
        <v>49</v>
      </c>
      <c r="D31" s="2" t="s">
        <v>103</v>
      </c>
      <c r="E31" s="2" t="s">
        <v>26</v>
      </c>
      <c r="F31" s="2" t="s">
        <v>46</v>
      </c>
      <c r="G31" s="2" t="s">
        <v>95</v>
      </c>
      <c r="H31" s="2" t="s">
        <v>15</v>
      </c>
      <c r="I31" s="4" t="s">
        <v>21</v>
      </c>
    </row>
    <row r="32" customFormat="false" ht="15" hidden="false" customHeight="false" outlineLevel="0" collapsed="false">
      <c r="A32" s="2" t="s">
        <v>104</v>
      </c>
      <c r="B32" s="2" t="s">
        <v>11</v>
      </c>
      <c r="C32" s="2" t="s">
        <v>73</v>
      </c>
      <c r="D32" s="2" t="s">
        <v>66</v>
      </c>
      <c r="E32" s="2" t="s">
        <v>26</v>
      </c>
      <c r="F32" s="2" t="s">
        <v>11</v>
      </c>
      <c r="G32" s="2" t="s">
        <v>95</v>
      </c>
      <c r="H32" s="2" t="s">
        <v>15</v>
      </c>
      <c r="I32" s="4" t="s">
        <v>21</v>
      </c>
    </row>
    <row r="33" customFormat="false" ht="15" hidden="false" customHeight="false" outlineLevel="0" collapsed="false">
      <c r="A33" s="2" t="s">
        <v>105</v>
      </c>
      <c r="B33" s="2" t="s">
        <v>70</v>
      </c>
      <c r="C33" s="2" t="s">
        <v>106</v>
      </c>
      <c r="D33" s="2" t="s">
        <v>91</v>
      </c>
      <c r="E33" s="2" t="s">
        <v>26</v>
      </c>
      <c r="F33" s="2" t="s">
        <v>70</v>
      </c>
      <c r="G33" s="2" t="s">
        <v>95</v>
      </c>
      <c r="H33" s="2" t="s">
        <v>15</v>
      </c>
      <c r="I33" s="3" t="s">
        <v>16</v>
      </c>
    </row>
    <row r="34" customFormat="false" ht="15" hidden="false" customHeight="false" outlineLevel="0" collapsed="false">
      <c r="A34" s="2" t="s">
        <v>107</v>
      </c>
      <c r="B34" s="2" t="s">
        <v>108</v>
      </c>
      <c r="C34" s="2" t="s">
        <v>56</v>
      </c>
      <c r="D34" s="2" t="s">
        <v>74</v>
      </c>
      <c r="E34" s="2" t="s">
        <v>26</v>
      </c>
      <c r="F34" s="2" t="s">
        <v>108</v>
      </c>
      <c r="G34" s="2" t="s">
        <v>95</v>
      </c>
      <c r="H34" s="2" t="s">
        <v>15</v>
      </c>
      <c r="I34" s="3" t="s">
        <v>16</v>
      </c>
    </row>
    <row r="35" customFormat="false" ht="15" hidden="false" customHeight="false" outlineLevel="0" collapsed="false">
      <c r="A35" s="2" t="s">
        <v>107</v>
      </c>
      <c r="B35" s="2" t="s">
        <v>109</v>
      </c>
      <c r="C35" s="2" t="s">
        <v>59</v>
      </c>
      <c r="D35" s="2" t="s">
        <v>110</v>
      </c>
      <c r="E35" s="2" t="s">
        <v>35</v>
      </c>
      <c r="F35" s="2" t="s">
        <v>59</v>
      </c>
      <c r="G35" s="2" t="s">
        <v>95</v>
      </c>
      <c r="H35" s="2" t="s">
        <v>36</v>
      </c>
      <c r="I35" s="4" t="s">
        <v>21</v>
      </c>
    </row>
    <row r="36" customFormat="false" ht="15" hidden="false" customHeight="false" outlineLevel="0" collapsed="false">
      <c r="A36" s="2" t="s">
        <v>107</v>
      </c>
      <c r="B36" s="2" t="s">
        <v>108</v>
      </c>
      <c r="C36" s="2" t="s">
        <v>106</v>
      </c>
      <c r="D36" s="2" t="s">
        <v>111</v>
      </c>
      <c r="E36" s="2" t="s">
        <v>13</v>
      </c>
      <c r="F36" s="2" t="s">
        <v>108</v>
      </c>
      <c r="G36" s="2" t="s">
        <v>95</v>
      </c>
      <c r="H36" s="2" t="s">
        <v>15</v>
      </c>
      <c r="I36" s="3" t="s">
        <v>16</v>
      </c>
    </row>
    <row r="37" customFormat="false" ht="15" hidden="false" customHeight="false" outlineLevel="0" collapsed="false">
      <c r="A37" s="2" t="s">
        <v>107</v>
      </c>
      <c r="B37" s="2" t="s">
        <v>112</v>
      </c>
      <c r="C37" s="2" t="s">
        <v>113</v>
      </c>
      <c r="D37" s="2" t="s">
        <v>111</v>
      </c>
      <c r="E37" s="2" t="s">
        <v>13</v>
      </c>
      <c r="F37" s="2" t="s">
        <v>112</v>
      </c>
      <c r="G37" s="2" t="s">
        <v>95</v>
      </c>
      <c r="H37" s="2" t="s">
        <v>15</v>
      </c>
      <c r="I37" s="3" t="s">
        <v>16</v>
      </c>
    </row>
    <row r="38" customFormat="false" ht="15" hidden="false" customHeight="false" outlineLevel="0" collapsed="false">
      <c r="A38" s="2" t="s">
        <v>107</v>
      </c>
      <c r="B38" s="2" t="s">
        <v>112</v>
      </c>
      <c r="C38" s="2" t="s">
        <v>114</v>
      </c>
      <c r="D38" s="2" t="s">
        <v>115</v>
      </c>
      <c r="E38" s="2" t="s">
        <v>13</v>
      </c>
      <c r="F38" s="2" t="s">
        <v>112</v>
      </c>
      <c r="G38" s="2" t="s">
        <v>95</v>
      </c>
      <c r="H38" s="2" t="s">
        <v>15</v>
      </c>
      <c r="I38" s="3" t="s">
        <v>16</v>
      </c>
    </row>
    <row r="39" customFormat="false" ht="15" hidden="false" customHeight="false" outlineLevel="0" collapsed="false">
      <c r="A39" s="2" t="s">
        <v>107</v>
      </c>
      <c r="B39" s="2" t="s">
        <v>116</v>
      </c>
      <c r="C39" s="2" t="s">
        <v>117</v>
      </c>
      <c r="D39" s="2" t="s">
        <v>118</v>
      </c>
      <c r="E39" s="2" t="s">
        <v>13</v>
      </c>
      <c r="F39" s="2" t="s">
        <v>116</v>
      </c>
      <c r="G39" s="2" t="s">
        <v>95</v>
      </c>
      <c r="H39" s="2" t="s">
        <v>15</v>
      </c>
      <c r="I39" s="3" t="s">
        <v>16</v>
      </c>
    </row>
    <row r="40" customFormat="false" ht="15" hidden="false" customHeight="false" outlineLevel="0" collapsed="false">
      <c r="A40" s="2" t="s">
        <v>107</v>
      </c>
      <c r="B40" s="2" t="s">
        <v>108</v>
      </c>
      <c r="C40" s="2" t="s">
        <v>119</v>
      </c>
      <c r="D40" s="2" t="s">
        <v>111</v>
      </c>
      <c r="E40" s="2" t="s">
        <v>13</v>
      </c>
      <c r="F40" s="2" t="s">
        <v>108</v>
      </c>
      <c r="G40" s="2" t="s">
        <v>95</v>
      </c>
      <c r="H40" s="2" t="s">
        <v>15</v>
      </c>
      <c r="I40" s="3" t="s">
        <v>16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16"/>
  </cols>
  <sheetData>
    <row r="1" customFormat="false" ht="15" hidden="false" customHeight="false" outlineLevel="0" collapsed="false">
      <c r="A1" s="5" t="s">
        <v>120</v>
      </c>
      <c r="B1" s="5" t="s">
        <v>121</v>
      </c>
    </row>
    <row r="2" customFormat="false" ht="15" hidden="false" customHeight="false" outlineLevel="0" collapsed="false">
      <c r="A2" s="6" t="s">
        <v>122</v>
      </c>
      <c r="B2" s="6" t="n">
        <f aca="false">COUNTA('Padel Matches'!A2:A40)</f>
        <v>39</v>
      </c>
    </row>
    <row r="3" customFormat="false" ht="15" hidden="false" customHeight="false" outlineLevel="0" collapsed="false">
      <c r="A3" s="6" t="s">
        <v>123</v>
      </c>
      <c r="B3" s="6" t="n">
        <f aca="false">COUNTIF('Padel Matches'!I2:I40,"Ja")</f>
        <v>19</v>
      </c>
    </row>
    <row r="4" customFormat="false" ht="15" hidden="false" customHeight="false" outlineLevel="0" collapsed="false">
      <c r="A4" s="6" t="s">
        <v>124</v>
      </c>
      <c r="B4" s="6" t="n">
        <f aca="false">COUNTIF('Padel Matches'!I2:I40,"Nein")</f>
        <v>20</v>
      </c>
    </row>
    <row r="5" customFormat="false" ht="15" hidden="false" customHeight="false" outlineLevel="0" collapsed="false">
      <c r="A5" s="6" t="s">
        <v>125</v>
      </c>
      <c r="B5" s="7" t="n">
        <f aca="false">B3/B2</f>
        <v>0.487179487179487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2026-09-22T08:38:57Z</dcterms:created>
  <dc:creator>openpyxl</dc:creator>
  <dc:description/>
  <dc:language>en-US</dc:language>
  <cp:lastModifiedBy/>
  <dcterms:modified xsi:type="dcterms:W3CDTF">2026-09-22T08:38:57Z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